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ks Macropad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i val="1"/>
      <color rgb="00888888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4F4F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lcpcb.com" TargetMode="External" Id="rId1"/><Relationship Type="http://schemas.openxmlformats.org/officeDocument/2006/relationships/hyperlink" Target="https://robocraze.com/products/seeed-studio-xiao-rp2040-development-board" TargetMode="External" Id="rId2"/><Relationship Type="http://schemas.openxmlformats.org/officeDocument/2006/relationships/hyperlink" Target="https://robu.in/product/hongyan-ec11h-7ce15p1zy15f7-rotary-encoder-with-push-button-switch-vertical-plug-in/" TargetMode="External" Id="rId3"/><Relationship Type="http://schemas.openxmlformats.org/officeDocument/2006/relationships/hyperlink" Target="https://meckeys.com/shop/accessories/keyboard-accessories/key-switches/cherry-mx-rgb-switch/" TargetMode="External" Id="rId4"/><Relationship Type="http://schemas.openxmlformats.org/officeDocument/2006/relationships/hyperlink" Target="https://meckeys.com/category/accessories/keyboard-accessories/keycaps/" TargetMode="External" Id="rId5"/><Relationship Type="http://schemas.openxmlformats.org/officeDocument/2006/relationships/hyperlink" Target="https://robu.in/product/diode-1n4148/" TargetMode="External" Id="rId6"/><Relationship Type="http://schemas.openxmlformats.org/officeDocument/2006/relationships/hyperlink" Target="https://robu.in/product/0-91-inch-128x32-i2c-iic-serial-blue-oled-lcd-display-module/" TargetMode="External" Id="rId7"/><Relationship Type="http://schemas.openxmlformats.org/officeDocument/2006/relationships/hyperlink" Target="https://robu.in/product/easymech-set-m3-x-16mm-socket-head-cap-allen-bolt-nut-12-pcs/" TargetMode="External" Id="rId8"/><Relationship Type="http://schemas.openxmlformats.org/officeDocument/2006/relationships/hyperlink" Target="https://www.3ding.in" TargetMode="External" Id="rId9"/><Relationship Type="http://schemas.openxmlformats.org/officeDocument/2006/relationships/hyperlink" Target="https://www.3ding.in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6" customWidth="1" min="4" max="4"/>
    <col width="16" customWidth="1" min="5" max="5"/>
    <col width="12" customWidth="1" min="6" max="6"/>
    <col width="14" customWidth="1" min="7" max="7"/>
    <col width="10" customWidth="1" min="8" max="8"/>
  </cols>
  <sheetData>
    <row r="1" ht="28" customHeight="1">
      <c r="A1" s="1" t="inlineStr">
        <is>
          <t>Rks Macropad — Bill of Materials (India Prices, Mar 2026)</t>
        </is>
      </c>
    </row>
    <row r="2" ht="22" customHeight="1">
      <c r="A2" s="2" t="inlineStr">
        <is>
          <t>Ref</t>
        </is>
      </c>
      <c r="B2" s="2" t="inlineStr">
        <is>
          <t>Component</t>
        </is>
      </c>
      <c r="C2" s="2" t="inlineStr">
        <is>
          <t>Manufacturer</t>
        </is>
      </c>
      <c r="D2" s="2" t="inlineStr">
        <is>
          <t>Qty</t>
        </is>
      </c>
      <c r="E2" s="2" t="inlineStr">
        <is>
          <t>Unit Price (₹)</t>
        </is>
      </c>
      <c r="F2" s="2" t="inlineStr">
        <is>
          <t>Total (₹)</t>
        </is>
      </c>
      <c r="G2" s="2" t="inlineStr">
        <is>
          <t>Store</t>
        </is>
      </c>
      <c r="H2" s="2" t="inlineStr">
        <is>
          <t>Link</t>
        </is>
      </c>
    </row>
    <row r="3" ht="20" customHeight="1">
      <c r="A3" s="3" t="inlineStr">
        <is>
          <t>PCB</t>
        </is>
      </c>
      <c r="B3" s="4" t="inlineStr">
        <is>
          <t>Rks Macropad PCB</t>
        </is>
      </c>
      <c r="C3" s="4" t="inlineStr">
        <is>
          <t>Custom</t>
        </is>
      </c>
      <c r="D3" s="3" t="n">
        <v>1</v>
      </c>
      <c r="E3" s="5" t="n">
        <v>250</v>
      </c>
      <c r="F3" s="5">
        <f>D3*E3</f>
        <v/>
      </c>
      <c r="G3" s="4" t="inlineStr">
        <is>
          <t>JLCPCB</t>
        </is>
      </c>
      <c r="H3" s="6" t="inlineStr">
        <is>
          <t>Link</t>
        </is>
      </c>
    </row>
    <row r="4" ht="20" customHeight="1">
      <c r="A4" s="7" t="inlineStr">
        <is>
          <t>MCU</t>
        </is>
      </c>
      <c r="B4" s="8" t="inlineStr">
        <is>
          <t>XIAO-RP2040-DIP</t>
        </is>
      </c>
      <c r="C4" s="8" t="inlineStr">
        <is>
          <t>Seeed Studio</t>
        </is>
      </c>
      <c r="D4" s="7" t="n">
        <v>1</v>
      </c>
      <c r="E4" s="9" t="n">
        <v>914</v>
      </c>
      <c r="F4" s="9">
        <f>D4*E4</f>
        <v/>
      </c>
      <c r="G4" s="8" t="inlineStr">
        <is>
          <t>Robocraze</t>
        </is>
      </c>
      <c r="H4" s="10" t="inlineStr">
        <is>
          <t>Link</t>
        </is>
      </c>
    </row>
    <row r="5" ht="20" customHeight="1">
      <c r="A5" s="3" t="inlineStr">
        <is>
          <t>ENC</t>
        </is>
      </c>
      <c r="B5" s="4" t="inlineStr">
        <is>
          <t>EC11 Rotary Encoder w/ Push Button</t>
        </is>
      </c>
      <c r="C5" s="4" t="inlineStr">
        <is>
          <t>Hongyan</t>
        </is>
      </c>
      <c r="D5" s="3" t="n">
        <v>1</v>
      </c>
      <c r="E5" s="5" t="n">
        <v>52</v>
      </c>
      <c r="F5" s="5">
        <f>D5*E5</f>
        <v/>
      </c>
      <c r="G5" s="4" t="inlineStr">
        <is>
          <t>Robu.in</t>
        </is>
      </c>
      <c r="H5" s="6" t="inlineStr">
        <is>
          <t>Link</t>
        </is>
      </c>
    </row>
    <row r="6" ht="20" customHeight="1">
      <c r="A6" s="7" t="inlineStr">
        <is>
          <t>SW</t>
        </is>
      </c>
      <c r="B6" s="8" t="inlineStr">
        <is>
          <t>Cherry MX RGB Switch (pack of 10)</t>
        </is>
      </c>
      <c r="C6" s="8" t="inlineStr">
        <is>
          <t>Cherry</t>
        </is>
      </c>
      <c r="D6" s="7" t="n">
        <v>2</v>
      </c>
      <c r="E6" s="9" t="n">
        <v>350</v>
      </c>
      <c r="F6" s="9">
        <f>D6*E6</f>
        <v/>
      </c>
      <c r="G6" s="8" t="inlineStr">
        <is>
          <t>Meckeys</t>
        </is>
      </c>
      <c r="H6" s="10" t="inlineStr">
        <is>
          <t>Link</t>
        </is>
      </c>
    </row>
    <row r="7" ht="20" customHeight="1">
      <c r="A7" s="3" t="inlineStr">
        <is>
          <t>KP</t>
        </is>
      </c>
      <c r="B7" s="4" t="inlineStr">
        <is>
          <t>Keycaps MX compatible (set)</t>
        </is>
      </c>
      <c r="C7" s="4" t="inlineStr">
        <is>
          <t>Generic</t>
        </is>
      </c>
      <c r="D7" s="3" t="n">
        <v>1</v>
      </c>
      <c r="E7" s="5" t="n">
        <v>499</v>
      </c>
      <c r="F7" s="5">
        <f>D7*E7</f>
        <v/>
      </c>
      <c r="G7" s="4" t="inlineStr">
        <is>
          <t>Meckeys</t>
        </is>
      </c>
      <c r="H7" s="6" t="inlineStr">
        <is>
          <t>Link</t>
        </is>
      </c>
    </row>
    <row r="8" ht="20" customHeight="1">
      <c r="A8" s="7" t="inlineStr">
        <is>
          <t>D</t>
        </is>
      </c>
      <c r="B8" s="8" t="inlineStr">
        <is>
          <t>1N4148 Through-hole Diode</t>
        </is>
      </c>
      <c r="C8" s="8" t="inlineStr">
        <is>
          <t>OnSemi</t>
        </is>
      </c>
      <c r="D8" s="7" t="n">
        <v>12</v>
      </c>
      <c r="E8" s="9" t="n">
        <v>1</v>
      </c>
      <c r="F8" s="9">
        <f>D8*E8</f>
        <v/>
      </c>
      <c r="G8" s="8" t="inlineStr">
        <is>
          <t>Robu.in</t>
        </is>
      </c>
      <c r="H8" s="10" t="inlineStr">
        <is>
          <t>Link</t>
        </is>
      </c>
    </row>
    <row r="9" ht="20" customHeight="1">
      <c r="A9" s="3" t="inlineStr">
        <is>
          <t>OLED</t>
        </is>
      </c>
      <c r="B9" s="4" t="inlineStr">
        <is>
          <t>0.91" OLED SSD1306 I2C 128x32</t>
        </is>
      </c>
      <c r="C9" s="4" t="inlineStr">
        <is>
          <t>Generic</t>
        </is>
      </c>
      <c r="D9" s="3" t="n">
        <v>1</v>
      </c>
      <c r="E9" s="5" t="n">
        <v>149</v>
      </c>
      <c r="F9" s="5">
        <f>D9*E9</f>
        <v/>
      </c>
      <c r="G9" s="4" t="inlineStr">
        <is>
          <t>Robu.in</t>
        </is>
      </c>
      <c r="H9" s="6" t="inlineStr">
        <is>
          <t>Link</t>
        </is>
      </c>
    </row>
    <row r="10" ht="20" customHeight="1">
      <c r="A10" s="7" t="inlineStr">
        <is>
          <t>SCR</t>
        </is>
      </c>
      <c r="B10" s="8" t="inlineStr">
        <is>
          <t>Cap Head M3x16 Allen Bolt (12 pcs)</t>
        </is>
      </c>
      <c r="C10" s="8" t="inlineStr">
        <is>
          <t>EasyMech</t>
        </is>
      </c>
      <c r="D10" s="7" t="n">
        <v>1</v>
      </c>
      <c r="E10" s="9" t="n">
        <v>89</v>
      </c>
      <c r="F10" s="9">
        <f>D10*E10</f>
        <v/>
      </c>
      <c r="G10" s="8" t="inlineStr">
        <is>
          <t>Robu.in</t>
        </is>
      </c>
      <c r="H10" s="10" t="inlineStr">
        <is>
          <t>Link</t>
        </is>
      </c>
    </row>
    <row r="11" ht="20" customHeight="1">
      <c r="A11" s="3" t="inlineStr">
        <is>
          <t>SHL-T</t>
        </is>
      </c>
      <c r="B11" s="4" t="inlineStr">
        <is>
          <t>3D Printed Shell - Top Half</t>
        </is>
      </c>
      <c r="C11" s="4" t="inlineStr">
        <is>
          <t>Self-printed</t>
        </is>
      </c>
      <c r="D11" s="3" t="n">
        <v>1</v>
      </c>
      <c r="E11" s="5" t="n">
        <v>150</v>
      </c>
      <c r="F11" s="5">
        <f>D11*E11</f>
        <v/>
      </c>
      <c r="G11" s="4" t="inlineStr">
        <is>
          <t>3Ding.in</t>
        </is>
      </c>
      <c r="H11" s="6" t="inlineStr">
        <is>
          <t>Link</t>
        </is>
      </c>
    </row>
    <row r="12" ht="20" customHeight="1">
      <c r="A12" s="7" t="inlineStr">
        <is>
          <t>SHL-B</t>
        </is>
      </c>
      <c r="B12" s="8" t="inlineStr">
        <is>
          <t>3D Printed Shell - Bottom Half</t>
        </is>
      </c>
      <c r="C12" s="8" t="inlineStr">
        <is>
          <t>Self-printed</t>
        </is>
      </c>
      <c r="D12" s="7" t="n">
        <v>1</v>
      </c>
      <c r="E12" s="9" t="n">
        <v>150</v>
      </c>
      <c r="F12" s="9">
        <f>D12*E12</f>
        <v/>
      </c>
      <c r="G12" s="8" t="inlineStr">
        <is>
          <t>3Ding.in</t>
        </is>
      </c>
      <c r="H12" s="10" t="inlineStr">
        <is>
          <t>Link</t>
        </is>
      </c>
    </row>
    <row r="13" ht="22" customHeight="1">
      <c r="A13" s="11" t="n"/>
      <c r="B13" s="11" t="n"/>
      <c r="C13" s="11" t="n"/>
      <c r="D13" s="11" t="n"/>
      <c r="E13" s="12" t="inlineStr">
        <is>
          <t>TOTAL:</t>
        </is>
      </c>
      <c r="F13" s="12">
        <f>SUM(F3:F12)</f>
        <v/>
      </c>
      <c r="G13" s="11" t="n"/>
      <c r="H13" s="11" t="n"/>
    </row>
    <row r="14">
      <c r="A14" s="13" t="inlineStr">
        <is>
          <t>* Prices are approximate as of March 2026. PCB &amp; 3D print costs are estimates. Cherry MX pack of 10 ordered x2 for 11 switches needed.</t>
        </is>
      </c>
    </row>
  </sheetData>
  <mergeCells count="2">
    <mergeCell ref="A14:H14"/>
    <mergeCell ref="A1:H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2026-03-29T21:06:36Z</dcterms:created>
  <dcterms:modified xmlns:dcterms="http://purl.org/dc/terms/" xmlns:xsi="http://www.w3.org/2001/XMLSchema-instance" xsi:type="dcterms:W3CDTF">2026-03-29T21:06:36Z</dcterms:modified>
</cp:coreProperties>
</file>